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Z:\Conteúdos\NODE JS\2024\002 - estrutura_banco\"/>
    </mc:Choice>
  </mc:AlternateContent>
  <xr:revisionPtr revIDLastSave="0" documentId="13_ncr:1_{A3691836-2C88-4CD5-8D02-C82541CBC92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ALUNOS PARA BD" sheetId="1" r:id="rId1"/>
    <sheet name="COMANDOS" sheetId="2" r:id="rId2"/>
    <sheet name="BD_TCC" sheetId="3" r:id="rId3"/>
    <sheet name="g1" sheetId="4" r:id="rId4"/>
    <sheet name="g2" sheetId="5" r:id="rId5"/>
    <sheet name="g3" sheetId="6" r:id="rId6"/>
    <sheet name="g4" sheetId="7" r:id="rId7"/>
    <sheet name="g5" sheetId="8" r:id="rId8"/>
    <sheet name="g6" sheetId="9" r:id="rId9"/>
    <sheet name="g7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3" l="1"/>
  <c r="M26" i="3"/>
  <c r="M27" i="3"/>
  <c r="M28" i="3"/>
  <c r="M29" i="3"/>
  <c r="M30" i="3"/>
  <c r="M24" i="3"/>
  <c r="I25" i="3"/>
  <c r="I26" i="3"/>
  <c r="I27" i="3"/>
  <c r="I28" i="3"/>
  <c r="I29" i="3"/>
  <c r="I30" i="3"/>
  <c r="I24" i="3"/>
  <c r="G30" i="3" l="1"/>
  <c r="G29" i="3"/>
  <c r="G28" i="3"/>
  <c r="G27" i="3"/>
  <c r="G26" i="3"/>
  <c r="G25" i="3"/>
  <c r="G24" i="3"/>
  <c r="G21" i="3"/>
  <c r="G20" i="3"/>
  <c r="G19" i="3"/>
  <c r="G18" i="3"/>
  <c r="G17" i="3"/>
  <c r="G16" i="3"/>
  <c r="G15" i="3"/>
  <c r="K30" i="3" l="1"/>
  <c r="K29" i="3"/>
  <c r="K28" i="3"/>
  <c r="K27" i="3"/>
  <c r="K26" i="3"/>
  <c r="K25" i="3"/>
  <c r="K24" i="3"/>
  <c r="E30" i="3"/>
  <c r="E29" i="3"/>
  <c r="E28" i="3"/>
  <c r="E27" i="3"/>
  <c r="E26" i="3"/>
  <c r="E25" i="3"/>
  <c r="E24" i="3"/>
  <c r="E21" i="3"/>
  <c r="E20" i="3"/>
  <c r="E19" i="3"/>
  <c r="E18" i="3"/>
  <c r="E17" i="3"/>
  <c r="E16" i="3"/>
  <c r="E15" i="3"/>
  <c r="E12" i="3"/>
  <c r="E11" i="3"/>
  <c r="E10" i="3"/>
  <c r="E9" i="3"/>
  <c r="E8" i="3"/>
  <c r="E7" i="3"/>
  <c r="C30" i="3" l="1"/>
  <c r="P30" i="3" s="1"/>
  <c r="C29" i="3"/>
  <c r="C28" i="3"/>
  <c r="C27" i="3"/>
  <c r="C26" i="3"/>
  <c r="C25" i="3"/>
  <c r="C24" i="3"/>
  <c r="C21" i="3"/>
  <c r="K21" i="3" s="1"/>
  <c r="C20" i="3"/>
  <c r="K20" i="3" s="1"/>
  <c r="C19" i="3"/>
  <c r="C18" i="3"/>
  <c r="K18" i="3" s="1"/>
  <c r="C17" i="3"/>
  <c r="C16" i="3"/>
  <c r="C15" i="3"/>
  <c r="C12" i="3"/>
  <c r="J12" i="3" s="1"/>
  <c r="C11" i="3"/>
  <c r="C10" i="3"/>
  <c r="C9" i="3"/>
  <c r="C8" i="3"/>
  <c r="J8" i="3" s="1"/>
  <c r="C7" i="3"/>
  <c r="J7" i="3" s="1"/>
  <c r="P29" i="3"/>
  <c r="P28" i="3"/>
  <c r="P27" i="3"/>
  <c r="P26" i="3"/>
  <c r="P25" i="3"/>
  <c r="P24" i="3"/>
  <c r="K19" i="3"/>
  <c r="K17" i="3"/>
  <c r="K16" i="3"/>
  <c r="K15" i="3"/>
  <c r="J11" i="3"/>
  <c r="J10" i="3"/>
  <c r="J9" i="3"/>
  <c r="J6" i="3"/>
  <c r="C5" i="10" l="1"/>
  <c r="C4" i="10"/>
  <c r="C3" i="10"/>
  <c r="C2" i="10"/>
  <c r="C5" i="9"/>
  <c r="C4" i="9"/>
  <c r="C3" i="9"/>
  <c r="C2" i="9"/>
  <c r="C5" i="8"/>
  <c r="C4" i="8"/>
  <c r="C3" i="8"/>
  <c r="C2" i="8"/>
  <c r="C5" i="7"/>
  <c r="C4" i="7"/>
  <c r="C3" i="7"/>
  <c r="C2" i="7"/>
  <c r="C5" i="6" l="1"/>
  <c r="C4" i="6"/>
  <c r="C3" i="6"/>
  <c r="C2" i="6"/>
  <c r="C5" i="5"/>
  <c r="C4" i="5"/>
  <c r="C3" i="5"/>
  <c r="C2" i="5"/>
  <c r="C5" i="4"/>
  <c r="C4" i="4"/>
  <c r="C3" i="4"/>
  <c r="C2" i="4" l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H32" i="1" l="1"/>
  <c r="J32" i="1"/>
  <c r="H2" i="1"/>
  <c r="J2" i="1"/>
  <c r="H8" i="1"/>
  <c r="J8" i="1"/>
  <c r="H20" i="1"/>
  <c r="J20" i="1"/>
  <c r="H12" i="1"/>
  <c r="J12" i="1"/>
  <c r="H4" i="1"/>
  <c r="J4" i="1"/>
  <c r="H24" i="1"/>
  <c r="J24" i="1"/>
  <c r="H28" i="1"/>
  <c r="J28" i="1"/>
  <c r="H16" i="1"/>
  <c r="J16" i="1"/>
  <c r="H5" i="1"/>
  <c r="J5" i="1"/>
  <c r="H34" i="1"/>
  <c r="J34" i="1"/>
  <c r="H29" i="1"/>
  <c r="J29" i="1"/>
  <c r="H17" i="1"/>
  <c r="J17" i="1"/>
  <c r="H27" i="1"/>
  <c r="J27" i="1"/>
  <c r="H15" i="1"/>
  <c r="J15" i="1"/>
  <c r="H3" i="1"/>
  <c r="J3" i="1"/>
  <c r="H26" i="1"/>
  <c r="J26" i="1"/>
  <c r="H14" i="1"/>
  <c r="J14" i="1"/>
  <c r="H13" i="1"/>
  <c r="J13" i="1"/>
  <c r="H25" i="1"/>
  <c r="J25" i="1"/>
  <c r="H35" i="1"/>
  <c r="J35" i="1"/>
  <c r="H23" i="1"/>
  <c r="J23" i="1"/>
  <c r="H11" i="1"/>
  <c r="J11" i="1"/>
  <c r="H10" i="1"/>
  <c r="J10" i="1"/>
  <c r="H9" i="1"/>
  <c r="J9" i="1"/>
  <c r="H22" i="1"/>
  <c r="J22" i="1"/>
  <c r="H33" i="1"/>
  <c r="J33" i="1"/>
  <c r="H21" i="1"/>
  <c r="J21" i="1"/>
  <c r="H31" i="1"/>
  <c r="J31" i="1"/>
  <c r="H19" i="1"/>
  <c r="J19" i="1"/>
  <c r="H7" i="1"/>
  <c r="J7" i="1"/>
  <c r="H30" i="1"/>
  <c r="J30" i="1"/>
  <c r="H18" i="1"/>
  <c r="J18" i="1"/>
  <c r="H6" i="1"/>
  <c r="J6" i="1"/>
</calcChain>
</file>

<file path=xl/sharedStrings.xml><?xml version="1.0" encoding="utf-8"?>
<sst xmlns="http://schemas.openxmlformats.org/spreadsheetml/2006/main" count="258" uniqueCount="98">
  <si>
    <t>ABIANI SILVA SANTOS</t>
  </si>
  <si>
    <t>AMANDA TANAKA KLEIN</t>
  </si>
  <si>
    <t>ANDERSON DE OLIVEIRA FERREIRA</t>
  </si>
  <si>
    <t>AUGUSTO DE OLIVEIRA POSSATTI</t>
  </si>
  <si>
    <t>CESAR HENRIQUE SANTOS TOLEDO</t>
  </si>
  <si>
    <t>CLERISTON BARBOSA DA SILVA</t>
  </si>
  <si>
    <t>EVERTON TORRES DA COSTA</t>
  </si>
  <si>
    <t>GABRIEL LUIZ OLIVEIRA DA COSTA</t>
  </si>
  <si>
    <t>GUILHERME AUGUSTO DA SILVA FERNANDES</t>
  </si>
  <si>
    <t>JOÃO VICTOR AMARAL CABRERA</t>
  </si>
  <si>
    <t>JOSE AUGUSTO CALDEIRA GIMENDES</t>
  </si>
  <si>
    <t>JOSE LEANDRO TOSCHI PADOVEZE</t>
  </si>
  <si>
    <t>KALLEO FELIPE FELTRIN</t>
  </si>
  <si>
    <t>KELLY PEREIRA DOS SANTOS</t>
  </si>
  <si>
    <t>KEVIN COSTA IORIO</t>
  </si>
  <si>
    <t>LORENA OLIVEIRA SOUZA</t>
  </si>
  <si>
    <t>LUCAS GABRIEL SILVA DOS SANTOS</t>
  </si>
  <si>
    <t>MAICON MARTINS LOMBAS</t>
  </si>
  <si>
    <t>MATEUS ALVES DE SOUSA</t>
  </si>
  <si>
    <t>MATHEUS AURELIANO DE SOUSA</t>
  </si>
  <si>
    <t>MATHEUS HENRIQUE ASSUNCAO COSTA</t>
  </si>
  <si>
    <t>MICHEL FERNANDES DE SPINDOLA</t>
  </si>
  <si>
    <t>NATHAN DA COSTA SILVA</t>
  </si>
  <si>
    <t>PATRICIA CRISTINA DE ARAUJO</t>
  </si>
  <si>
    <t>RAYSSA THAINA KATAOKA DE CARVALHO SILVA</t>
  </si>
  <si>
    <t>RENAN REIS LIMA</t>
  </si>
  <si>
    <t>RENAN TAKASAKI FRUTEIRO</t>
  </si>
  <si>
    <t>ROSELENE BISPO DOS SANTOS</t>
  </si>
  <si>
    <t>SUELI ROSANA SANCHES GONCALVES</t>
  </si>
  <si>
    <t>TATIANA DE JESUS SALVATE DA SILVA</t>
  </si>
  <si>
    <t>THAIS CRISTINA PEREIRA DE SOUZA</t>
  </si>
  <si>
    <t>THIAGO SANTOS DE GOES</t>
  </si>
  <si>
    <t>VITOR EVARISTO FIGUEIREDO</t>
  </si>
  <si>
    <t>VITOR HUGO ALVES DE SOUZA</t>
  </si>
  <si>
    <t>NOME</t>
  </si>
  <si>
    <t>Nº REF</t>
  </si>
  <si>
    <t>Primeiro nome</t>
  </si>
  <si>
    <t>USUÁRIO</t>
  </si>
  <si>
    <t>Tirar espaço sobrando no final do nome</t>
  </si>
  <si>
    <t>;</t>
  </si>
  <si>
    <t xml:space="preserve">CREATE DATABASE </t>
  </si>
  <si>
    <t>CREATE USER 'l218_tlb' IDENTIFIED BY 'l2182019';</t>
  </si>
  <si>
    <t>Criar banco de dados para os alunos</t>
  </si>
  <si>
    <t>CÓDIGO - banco</t>
  </si>
  <si>
    <t>Criar usuário para a turma</t>
  </si>
  <si>
    <t>Conceder permissão de acesso para o usuário em todos os banco de dados criados</t>
  </si>
  <si>
    <t>CÓDIGO ACESSO USU BANCO</t>
  </si>
  <si>
    <t xml:space="preserve">GRANT ALL PRIVILEGES ON </t>
  </si>
  <si>
    <t>l218_tlb</t>
  </si>
  <si>
    <t xml:space="preserve">.* TO </t>
  </si>
  <si>
    <t>Criar meu usuário</t>
  </si>
  <si>
    <t>CREATE DATABASE L218_EWERTON;</t>
  </si>
  <si>
    <t>Conceder permissão de acesso para meu banco ao usuário</t>
  </si>
  <si>
    <t>GRANT ALL PRIVILEGES ON L218_EWERTON.* TO l218_tlb;</t>
  </si>
  <si>
    <t>&lt;&lt;&lt; - definir nome do usuário</t>
  </si>
  <si>
    <t>CREATE DATABASE cloze3
  CHARACTER SET utf8mb4
  COLLATE utf8mb4_unicode_ci;</t>
  </si>
  <si>
    <t>CREATE DATABASE cloze3
  CHARACTER SET utf8
  COLLATE utf8_unicode_ci;</t>
  </si>
  <si>
    <t>10.67.22.216</t>
  </si>
  <si>
    <t>COMANDO</t>
  </si>
  <si>
    <t>TURMA</t>
  </si>
  <si>
    <t>CURSO</t>
  </si>
  <si>
    <t>GRUPO</t>
  </si>
  <si>
    <t>CREATE DATABASE bd_tcc_</t>
  </si>
  <si>
    <t>_</t>
  </si>
  <si>
    <t>PRONTO</t>
  </si>
  <si>
    <t>g6</t>
  </si>
  <si>
    <t>g7</t>
  </si>
  <si>
    <t>CREATE USER 'us_</t>
  </si>
  <si>
    <t>' IDENTIFIED BY '</t>
  </si>
  <si>
    <t>SENHA</t>
  </si>
  <si>
    <t>GRANT ALL PRIVILEGES ON bd_tcc_</t>
  </si>
  <si>
    <t>.* TO us_</t>
  </si>
  <si>
    <t>of2723</t>
  </si>
  <si>
    <t>ug2327</t>
  </si>
  <si>
    <t>ah7372</t>
  </si>
  <si>
    <t>ej5213</t>
  </si>
  <si>
    <t>';</t>
  </si>
  <si>
    <t>Usuário</t>
  </si>
  <si>
    <t>Servidor</t>
  </si>
  <si>
    <t>Banco de dados</t>
  </si>
  <si>
    <t>Senha</t>
  </si>
  <si>
    <t>&lt;&lt; Servidor</t>
  </si>
  <si>
    <t>recursos</t>
  </si>
  <si>
    <t>bd_tcc_</t>
  </si>
  <si>
    <t>us_</t>
  </si>
  <si>
    <t>infonet</t>
  </si>
  <si>
    <t>farmacia</t>
  </si>
  <si>
    <t>monit_prev</t>
  </si>
  <si>
    <t>mnt489prev</t>
  </si>
  <si>
    <t>frm590aai</t>
  </si>
  <si>
    <t>skincs</t>
  </si>
  <si>
    <t>skn061ics</t>
  </si>
  <si>
    <t>condominio</t>
  </si>
  <si>
    <t>amendoim</t>
  </si>
  <si>
    <t>CREATE USER 'us_aula_node' IDENTIFIED BY '123456';</t>
  </si>
  <si>
    <t>CREATE DATABASE infonet_1sem_24;</t>
  </si>
  <si>
    <t>GRANT ALL PRIVILEGES ON infonet_1sem_24.* TO us_aula_node;</t>
  </si>
  <si>
    <t>I224_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</si>
</sst>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4" borderId="0" xfId="0" applyFill="1"/>
    <xf numFmtId="0" fontId="0" fillId="5" borderId="0" xfId="0" applyFill="1"/>
    <xf numFmtId="0" fontId="8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A2" sqref="A2"/>
    </sheetView>
  </sheetViews>
  <sheetFormatPr defaultRowHeight="15" x14ac:dyDescent="0.25"/>
  <cols>
    <col min="2" max="2" width="39.42578125" style="2" customWidth="1"/>
    <col min="6" max="6" width="18.7109375" bestFit="1" customWidth="1"/>
    <col min="7" max="7" width="4.42578125" customWidth="1"/>
    <col min="8" max="8" width="36.140625" style="4" bestFit="1" customWidth="1"/>
    <col min="9" max="9" width="4.42578125" customWidth="1"/>
    <col min="10" max="10" width="55.5703125" style="5" bestFit="1" customWidth="1"/>
    <col min="11" max="12" width="4" customWidth="1"/>
    <col min="13" max="13" width="4.5703125" customWidth="1"/>
  </cols>
  <sheetData>
    <row r="1" spans="1:16" ht="18.75" x14ac:dyDescent="0.3">
      <c r="A1" s="1" t="s">
        <v>97</v>
      </c>
      <c r="B1" s="3" t="s">
        <v>34</v>
      </c>
      <c r="C1" t="s">
        <v>35</v>
      </c>
      <c r="D1" t="s">
        <v>36</v>
      </c>
      <c r="E1" t="s">
        <v>38</v>
      </c>
      <c r="F1" t="s">
        <v>37</v>
      </c>
      <c r="H1" s="4" t="s">
        <v>43</v>
      </c>
      <c r="J1" s="5" t="s">
        <v>46</v>
      </c>
      <c r="M1">
        <v>1</v>
      </c>
      <c r="N1" t="s">
        <v>42</v>
      </c>
    </row>
    <row r="2" spans="1:16" x14ac:dyDescent="0.25">
      <c r="B2" s="2" t="s">
        <v>0</v>
      </c>
      <c r="C2">
        <v>11</v>
      </c>
      <c r="D2" t="str">
        <f>MID(B2,1,SEARCH(" ",B2,1))</f>
        <v xml:space="preserve">ABIANI </v>
      </c>
      <c r="E2" t="str">
        <f>TRIM(MID(B2,1,SEARCH(" ",B2,1)))</f>
        <v>ABIANI</v>
      </c>
      <c r="F2" t="str">
        <f>CONCATENATE($A$1,E2,C2)</f>
        <v>I224_ABIANI11</v>
      </c>
      <c r="H2" s="4" t="str">
        <f t="shared" ref="H2:H35" si="0">CONCATENATE($N$2,F2,$N$3)</f>
        <v>CREATE DATABASE I224_ABIANI11;</v>
      </c>
      <c r="J2" s="5" t="str">
        <f>CONCATENATE($N$7,F2,$N$8,$N$9,$N$10)</f>
        <v>GRANT ALL PRIVILEGES ON I224_ABIANI11.* TO l218_tlb;</v>
      </c>
      <c r="N2" s="4" t="s">
        <v>40</v>
      </c>
    </row>
    <row r="3" spans="1:16" x14ac:dyDescent="0.25">
      <c r="B3" s="2" t="s">
        <v>1</v>
      </c>
      <c r="C3">
        <v>12</v>
      </c>
      <c r="D3" t="str">
        <f t="shared" ref="D3:D35" si="1">MID(B3,1,SEARCH(" ",B3,1))</f>
        <v xml:space="preserve">AMANDA </v>
      </c>
      <c r="E3" t="str">
        <f t="shared" ref="E3:E35" si="2">TRIM(MID(B3,1,SEARCH(" ",B3,1)))</f>
        <v>AMANDA</v>
      </c>
      <c r="F3" t="str">
        <f t="shared" ref="F3:F35" si="3">CONCATENATE($A$1,E3,C3)</f>
        <v>I224_AMANDA12</v>
      </c>
      <c r="H3" s="4" t="str">
        <f t="shared" si="0"/>
        <v>CREATE DATABASE I224_AMANDA12;</v>
      </c>
      <c r="J3" s="5" t="str">
        <f t="shared" ref="J3:J35" si="4">CONCATENATE($N$7,F3,$N$8,$N$9,$N$10)</f>
        <v>GRANT ALL PRIVILEGES ON I224_AMANDA12.* TO l218_tlb;</v>
      </c>
      <c r="N3" s="4" t="s">
        <v>39</v>
      </c>
    </row>
    <row r="4" spans="1:16" x14ac:dyDescent="0.25">
      <c r="B4" s="2" t="s">
        <v>2</v>
      </c>
      <c r="C4">
        <v>13</v>
      </c>
      <c r="D4" t="str">
        <f t="shared" si="1"/>
        <v xml:space="preserve">ANDERSON </v>
      </c>
      <c r="E4" t="str">
        <f t="shared" si="2"/>
        <v>ANDERSON</v>
      </c>
      <c r="F4" t="str">
        <f t="shared" si="3"/>
        <v>I224_ANDERSON13</v>
      </c>
      <c r="H4" s="4" t="str">
        <f t="shared" si="0"/>
        <v>CREATE DATABASE I224_ANDERSON13;</v>
      </c>
      <c r="J4" s="5" t="str">
        <f t="shared" si="4"/>
        <v>GRANT ALL PRIVILEGES ON I224_ANDERSON13.* TO l218_tlb;</v>
      </c>
      <c r="M4">
        <v>2</v>
      </c>
      <c r="N4" t="s">
        <v>44</v>
      </c>
    </row>
    <row r="5" spans="1:16" x14ac:dyDescent="0.25">
      <c r="B5" s="2" t="s">
        <v>3</v>
      </c>
      <c r="C5">
        <v>14</v>
      </c>
      <c r="D5" t="str">
        <f t="shared" si="1"/>
        <v xml:space="preserve">AUGUSTO </v>
      </c>
      <c r="E5" t="str">
        <f t="shared" si="2"/>
        <v>AUGUSTO</v>
      </c>
      <c r="F5" t="str">
        <f t="shared" si="3"/>
        <v>I224_AUGUSTO14</v>
      </c>
      <c r="H5" s="4" t="str">
        <f t="shared" si="0"/>
        <v>CREATE DATABASE I224_AUGUSTO14;</v>
      </c>
      <c r="J5" s="5" t="str">
        <f t="shared" si="4"/>
        <v>GRANT ALL PRIVILEGES ON I224_AUGUSTO14.* TO l218_tlb;</v>
      </c>
      <c r="N5" s="6" t="s">
        <v>41</v>
      </c>
    </row>
    <row r="6" spans="1:16" x14ac:dyDescent="0.25">
      <c r="B6" s="2" t="s">
        <v>4</v>
      </c>
      <c r="C6">
        <v>15</v>
      </c>
      <c r="D6" t="str">
        <f t="shared" si="1"/>
        <v xml:space="preserve">CESAR </v>
      </c>
      <c r="E6" t="str">
        <f t="shared" si="2"/>
        <v>CESAR</v>
      </c>
      <c r="F6" t="str">
        <f t="shared" si="3"/>
        <v>I224_CESAR15</v>
      </c>
      <c r="H6" s="4" t="str">
        <f t="shared" si="0"/>
        <v>CREATE DATABASE I224_CESAR15;</v>
      </c>
      <c r="J6" s="5" t="str">
        <f t="shared" si="4"/>
        <v>GRANT ALL PRIVILEGES ON I224_CESAR15.* TO l218_tlb;</v>
      </c>
      <c r="M6">
        <v>3</v>
      </c>
      <c r="N6" t="s">
        <v>45</v>
      </c>
    </row>
    <row r="7" spans="1:16" x14ac:dyDescent="0.25">
      <c r="B7" s="2" t="s">
        <v>5</v>
      </c>
      <c r="C7">
        <v>16</v>
      </c>
      <c r="D7" t="str">
        <f t="shared" si="1"/>
        <v xml:space="preserve">CLERISTON </v>
      </c>
      <c r="E7" t="str">
        <f t="shared" si="2"/>
        <v>CLERISTON</v>
      </c>
      <c r="F7" t="str">
        <f t="shared" si="3"/>
        <v>I224_CLERISTON16</v>
      </c>
      <c r="H7" s="4" t="str">
        <f t="shared" si="0"/>
        <v>CREATE DATABASE I224_CLERISTON16;</v>
      </c>
      <c r="J7" s="5" t="str">
        <f t="shared" si="4"/>
        <v>GRANT ALL PRIVILEGES ON I224_CLERISTON16.* TO l218_tlb;</v>
      </c>
      <c r="N7" s="5" t="s">
        <v>47</v>
      </c>
    </row>
    <row r="8" spans="1:16" x14ac:dyDescent="0.25">
      <c r="B8" s="2" t="s">
        <v>6</v>
      </c>
      <c r="C8">
        <v>17</v>
      </c>
      <c r="D8" t="str">
        <f t="shared" si="1"/>
        <v xml:space="preserve">EVERTON </v>
      </c>
      <c r="E8" t="str">
        <f t="shared" si="2"/>
        <v>EVERTON</v>
      </c>
      <c r="F8" t="str">
        <f t="shared" si="3"/>
        <v>I224_EVERTON17</v>
      </c>
      <c r="H8" s="4" t="str">
        <f t="shared" si="0"/>
        <v>CREATE DATABASE I224_EVERTON17;</v>
      </c>
      <c r="J8" s="5" t="str">
        <f t="shared" si="4"/>
        <v>GRANT ALL PRIVILEGES ON I224_EVERTON17.* TO l218_tlb;</v>
      </c>
      <c r="N8" s="5" t="s">
        <v>49</v>
      </c>
    </row>
    <row r="9" spans="1:16" x14ac:dyDescent="0.25">
      <c r="B9" s="2" t="s">
        <v>7</v>
      </c>
      <c r="C9">
        <v>18</v>
      </c>
      <c r="D9" t="str">
        <f t="shared" si="1"/>
        <v xml:space="preserve">GABRIEL </v>
      </c>
      <c r="E9" t="str">
        <f t="shared" si="2"/>
        <v>GABRIEL</v>
      </c>
      <c r="F9" t="str">
        <f t="shared" si="3"/>
        <v>I224_GABRIEL18</v>
      </c>
      <c r="H9" s="4" t="str">
        <f t="shared" si="0"/>
        <v>CREATE DATABASE I224_GABRIEL18;</v>
      </c>
      <c r="J9" s="5" t="str">
        <f t="shared" si="4"/>
        <v>GRANT ALL PRIVILEGES ON I224_GABRIEL18.* TO l218_tlb;</v>
      </c>
      <c r="N9" s="5" t="s">
        <v>48</v>
      </c>
      <c r="P9" s="6" t="s">
        <v>54</v>
      </c>
    </row>
    <row r="10" spans="1:16" x14ac:dyDescent="0.25">
      <c r="B10" s="2" t="s">
        <v>8</v>
      </c>
      <c r="C10">
        <v>19</v>
      </c>
      <c r="D10" t="str">
        <f t="shared" si="1"/>
        <v xml:space="preserve">GUILHERME </v>
      </c>
      <c r="E10" t="str">
        <f t="shared" si="2"/>
        <v>GUILHERME</v>
      </c>
      <c r="F10" t="str">
        <f t="shared" si="3"/>
        <v>I224_GUILHERME19</v>
      </c>
      <c r="H10" s="4" t="str">
        <f t="shared" si="0"/>
        <v>CREATE DATABASE I224_GUILHERME19;</v>
      </c>
      <c r="J10" s="5" t="str">
        <f t="shared" si="4"/>
        <v>GRANT ALL PRIVILEGES ON I224_GUILHERME19.* TO l218_tlb;</v>
      </c>
      <c r="N10" s="5" t="s">
        <v>39</v>
      </c>
    </row>
    <row r="11" spans="1:16" x14ac:dyDescent="0.25">
      <c r="B11" s="2" t="s">
        <v>9</v>
      </c>
      <c r="C11">
        <v>20</v>
      </c>
      <c r="D11" t="str">
        <f t="shared" si="1"/>
        <v xml:space="preserve">JOÃO </v>
      </c>
      <c r="E11" t="str">
        <f t="shared" si="2"/>
        <v>JOÃO</v>
      </c>
      <c r="F11" t="str">
        <f t="shared" si="3"/>
        <v>I224_JOÃO20</v>
      </c>
      <c r="H11" s="4" t="str">
        <f t="shared" si="0"/>
        <v>CREATE DATABASE I224_JOÃO20;</v>
      </c>
      <c r="J11" s="5" t="str">
        <f t="shared" si="4"/>
        <v>GRANT ALL PRIVILEGES ON I224_JOÃO20.* TO l218_tlb;</v>
      </c>
      <c r="M11">
        <v>4</v>
      </c>
      <c r="N11" t="s">
        <v>50</v>
      </c>
    </row>
    <row r="12" spans="1:16" x14ac:dyDescent="0.25">
      <c r="B12" s="2" t="s">
        <v>10</v>
      </c>
      <c r="C12">
        <v>21</v>
      </c>
      <c r="D12" t="str">
        <f t="shared" si="1"/>
        <v xml:space="preserve">JOSE </v>
      </c>
      <c r="E12" t="str">
        <f t="shared" si="2"/>
        <v>JOSE</v>
      </c>
      <c r="F12" t="str">
        <f t="shared" si="3"/>
        <v>I224_JOSE21</v>
      </c>
      <c r="H12" s="4" t="str">
        <f t="shared" si="0"/>
        <v>CREATE DATABASE I224_JOSE21;</v>
      </c>
      <c r="J12" s="5" t="str">
        <f t="shared" si="4"/>
        <v>GRANT ALL PRIVILEGES ON I224_JOSE21.* TO l218_tlb;</v>
      </c>
      <c r="N12" t="s">
        <v>51</v>
      </c>
    </row>
    <row r="13" spans="1:16" x14ac:dyDescent="0.25">
      <c r="B13" s="2" t="s">
        <v>11</v>
      </c>
      <c r="C13">
        <v>22</v>
      </c>
      <c r="D13" t="str">
        <f t="shared" si="1"/>
        <v xml:space="preserve">JOSE </v>
      </c>
      <c r="E13" t="str">
        <f t="shared" si="2"/>
        <v>JOSE</v>
      </c>
      <c r="F13" t="str">
        <f t="shared" si="3"/>
        <v>I224_JOSE22</v>
      </c>
      <c r="H13" s="4" t="str">
        <f t="shared" si="0"/>
        <v>CREATE DATABASE I224_JOSE22;</v>
      </c>
      <c r="J13" s="5" t="str">
        <f t="shared" si="4"/>
        <v>GRANT ALL PRIVILEGES ON I224_JOSE22.* TO l218_tlb;</v>
      </c>
      <c r="M13">
        <v>5</v>
      </c>
      <c r="N13" t="s">
        <v>52</v>
      </c>
    </row>
    <row r="14" spans="1:16" x14ac:dyDescent="0.25">
      <c r="B14" s="2" t="s">
        <v>12</v>
      </c>
      <c r="C14">
        <v>23</v>
      </c>
      <c r="D14" t="str">
        <f t="shared" si="1"/>
        <v xml:space="preserve">KALLEO </v>
      </c>
      <c r="E14" t="str">
        <f t="shared" si="2"/>
        <v>KALLEO</v>
      </c>
      <c r="F14" t="str">
        <f t="shared" si="3"/>
        <v>I224_KALLEO23</v>
      </c>
      <c r="H14" s="4" t="str">
        <f t="shared" si="0"/>
        <v>CREATE DATABASE I224_KALLEO23;</v>
      </c>
      <c r="J14" s="5" t="str">
        <f t="shared" si="4"/>
        <v>GRANT ALL PRIVILEGES ON I224_KALLEO23.* TO l218_tlb;</v>
      </c>
      <c r="N14" t="s">
        <v>53</v>
      </c>
    </row>
    <row r="15" spans="1:16" x14ac:dyDescent="0.25">
      <c r="B15" s="2" t="s">
        <v>13</v>
      </c>
      <c r="C15">
        <v>24</v>
      </c>
      <c r="D15" t="str">
        <f t="shared" si="1"/>
        <v xml:space="preserve">KELLY </v>
      </c>
      <c r="E15" t="str">
        <f t="shared" si="2"/>
        <v>KELLY</v>
      </c>
      <c r="F15" t="str">
        <f t="shared" si="3"/>
        <v>I224_KELLY24</v>
      </c>
      <c r="H15" s="4" t="str">
        <f t="shared" si="0"/>
        <v>CREATE DATABASE I224_KELLY24;</v>
      </c>
      <c r="J15" s="5" t="str">
        <f t="shared" si="4"/>
        <v>GRANT ALL PRIVILEGES ON I224_KELLY24.* TO l218_tlb;</v>
      </c>
    </row>
    <row r="16" spans="1:16" x14ac:dyDescent="0.25">
      <c r="B16" s="2" t="s">
        <v>14</v>
      </c>
      <c r="C16">
        <v>25</v>
      </c>
      <c r="D16" t="str">
        <f t="shared" si="1"/>
        <v xml:space="preserve">KEVIN </v>
      </c>
      <c r="E16" t="str">
        <f t="shared" si="2"/>
        <v>KEVIN</v>
      </c>
      <c r="F16" t="str">
        <f t="shared" si="3"/>
        <v>I224_KEVIN25</v>
      </c>
      <c r="H16" s="4" t="str">
        <f t="shared" si="0"/>
        <v>CREATE DATABASE I224_KEVIN25;</v>
      </c>
      <c r="J16" s="5" t="str">
        <f t="shared" si="4"/>
        <v>GRANT ALL PRIVILEGES ON I224_KEVIN25.* TO l218_tlb;</v>
      </c>
    </row>
    <row r="17" spans="2:10" x14ac:dyDescent="0.25">
      <c r="B17" s="2" t="s">
        <v>15</v>
      </c>
      <c r="C17">
        <v>26</v>
      </c>
      <c r="D17" t="str">
        <f t="shared" si="1"/>
        <v xml:space="preserve">LORENA </v>
      </c>
      <c r="E17" t="str">
        <f t="shared" si="2"/>
        <v>LORENA</v>
      </c>
      <c r="F17" t="str">
        <f t="shared" si="3"/>
        <v>I224_LORENA26</v>
      </c>
      <c r="H17" s="4" t="str">
        <f t="shared" si="0"/>
        <v>CREATE DATABASE I224_LORENA26;</v>
      </c>
      <c r="J17" s="5" t="str">
        <f t="shared" si="4"/>
        <v>GRANT ALL PRIVILEGES ON I224_LORENA26.* TO l218_tlb;</v>
      </c>
    </row>
    <row r="18" spans="2:10" x14ac:dyDescent="0.25">
      <c r="B18" s="2" t="s">
        <v>16</v>
      </c>
      <c r="C18">
        <v>27</v>
      </c>
      <c r="D18" t="str">
        <f t="shared" si="1"/>
        <v xml:space="preserve">LUCAS </v>
      </c>
      <c r="E18" t="str">
        <f t="shared" si="2"/>
        <v>LUCAS</v>
      </c>
      <c r="F18" t="str">
        <f t="shared" si="3"/>
        <v>I224_LUCAS27</v>
      </c>
      <c r="H18" s="4" t="str">
        <f t="shared" si="0"/>
        <v>CREATE DATABASE I224_LUCAS27;</v>
      </c>
      <c r="J18" s="5" t="str">
        <f t="shared" si="4"/>
        <v>GRANT ALL PRIVILEGES ON I224_LUCAS27.* TO l218_tlb;</v>
      </c>
    </row>
    <row r="19" spans="2:10" x14ac:dyDescent="0.25">
      <c r="B19" s="2" t="s">
        <v>17</v>
      </c>
      <c r="C19">
        <v>28</v>
      </c>
      <c r="D19" t="str">
        <f t="shared" si="1"/>
        <v xml:space="preserve">MAICON </v>
      </c>
      <c r="E19" t="str">
        <f t="shared" si="2"/>
        <v>MAICON</v>
      </c>
      <c r="F19" t="str">
        <f t="shared" si="3"/>
        <v>I224_MAICON28</v>
      </c>
      <c r="H19" s="4" t="str">
        <f t="shared" si="0"/>
        <v>CREATE DATABASE I224_MAICON28;</v>
      </c>
      <c r="J19" s="5" t="str">
        <f t="shared" si="4"/>
        <v>GRANT ALL PRIVILEGES ON I224_MAICON28.* TO l218_tlb;</v>
      </c>
    </row>
    <row r="20" spans="2:10" x14ac:dyDescent="0.25">
      <c r="B20" s="2" t="s">
        <v>18</v>
      </c>
      <c r="C20">
        <v>29</v>
      </c>
      <c r="D20" t="str">
        <f t="shared" si="1"/>
        <v xml:space="preserve">MATEUS </v>
      </c>
      <c r="E20" t="str">
        <f t="shared" si="2"/>
        <v>MATEUS</v>
      </c>
      <c r="F20" t="str">
        <f t="shared" si="3"/>
        <v>I224_MATEUS29</v>
      </c>
      <c r="H20" s="4" t="str">
        <f t="shared" si="0"/>
        <v>CREATE DATABASE I224_MATEUS29;</v>
      </c>
      <c r="J20" s="5" t="str">
        <f t="shared" si="4"/>
        <v>GRANT ALL PRIVILEGES ON I224_MATEUS29.* TO l218_tlb;</v>
      </c>
    </row>
    <row r="21" spans="2:10" x14ac:dyDescent="0.25">
      <c r="B21" s="2" t="s">
        <v>19</v>
      </c>
      <c r="C21">
        <v>30</v>
      </c>
      <c r="D21" t="str">
        <f t="shared" si="1"/>
        <v xml:space="preserve">MATHEUS </v>
      </c>
      <c r="E21" t="str">
        <f t="shared" si="2"/>
        <v>MATHEUS</v>
      </c>
      <c r="F21" t="str">
        <f t="shared" si="3"/>
        <v>I224_MATHEUS30</v>
      </c>
      <c r="H21" s="4" t="str">
        <f t="shared" si="0"/>
        <v>CREATE DATABASE I224_MATHEUS30;</v>
      </c>
      <c r="J21" s="5" t="str">
        <f t="shared" si="4"/>
        <v>GRANT ALL PRIVILEGES ON I224_MATHEUS30.* TO l218_tlb;</v>
      </c>
    </row>
    <row r="22" spans="2:10" x14ac:dyDescent="0.25">
      <c r="B22" s="2" t="s">
        <v>20</v>
      </c>
      <c r="C22">
        <v>31</v>
      </c>
      <c r="D22" t="str">
        <f t="shared" si="1"/>
        <v xml:space="preserve">MATHEUS </v>
      </c>
      <c r="E22" t="str">
        <f t="shared" si="2"/>
        <v>MATHEUS</v>
      </c>
      <c r="F22" t="str">
        <f t="shared" si="3"/>
        <v>I224_MATHEUS31</v>
      </c>
      <c r="H22" s="4" t="str">
        <f t="shared" si="0"/>
        <v>CREATE DATABASE I224_MATHEUS31;</v>
      </c>
      <c r="J22" s="5" t="str">
        <f t="shared" si="4"/>
        <v>GRANT ALL PRIVILEGES ON I224_MATHEUS31.* TO l218_tlb;</v>
      </c>
    </row>
    <row r="23" spans="2:10" x14ac:dyDescent="0.25">
      <c r="B23" s="2" t="s">
        <v>21</v>
      </c>
      <c r="C23">
        <v>32</v>
      </c>
      <c r="D23" t="str">
        <f t="shared" si="1"/>
        <v xml:space="preserve">MICHEL </v>
      </c>
      <c r="E23" t="str">
        <f t="shared" si="2"/>
        <v>MICHEL</v>
      </c>
      <c r="F23" t="str">
        <f t="shared" si="3"/>
        <v>I224_MICHEL32</v>
      </c>
      <c r="H23" s="4" t="str">
        <f t="shared" si="0"/>
        <v>CREATE DATABASE I224_MICHEL32;</v>
      </c>
      <c r="J23" s="5" t="str">
        <f t="shared" si="4"/>
        <v>GRANT ALL PRIVILEGES ON I224_MICHEL32.* TO l218_tlb;</v>
      </c>
    </row>
    <row r="24" spans="2:10" x14ac:dyDescent="0.25">
      <c r="B24" s="2" t="s">
        <v>22</v>
      </c>
      <c r="C24">
        <v>33</v>
      </c>
      <c r="D24" t="str">
        <f t="shared" si="1"/>
        <v xml:space="preserve">NATHAN </v>
      </c>
      <c r="E24" t="str">
        <f t="shared" si="2"/>
        <v>NATHAN</v>
      </c>
      <c r="F24" t="str">
        <f t="shared" si="3"/>
        <v>I224_NATHAN33</v>
      </c>
      <c r="H24" s="4" t="str">
        <f t="shared" si="0"/>
        <v>CREATE DATABASE I224_NATHAN33;</v>
      </c>
      <c r="J24" s="5" t="str">
        <f t="shared" si="4"/>
        <v>GRANT ALL PRIVILEGES ON I224_NATHAN33.* TO l218_tlb;</v>
      </c>
    </row>
    <row r="25" spans="2:10" x14ac:dyDescent="0.25">
      <c r="B25" s="2" t="s">
        <v>23</v>
      </c>
      <c r="C25">
        <v>34</v>
      </c>
      <c r="D25" t="str">
        <f t="shared" si="1"/>
        <v xml:space="preserve">PATRICIA </v>
      </c>
      <c r="E25" t="str">
        <f t="shared" si="2"/>
        <v>PATRICIA</v>
      </c>
      <c r="F25" t="str">
        <f t="shared" si="3"/>
        <v>I224_PATRICIA34</v>
      </c>
      <c r="H25" s="4" t="str">
        <f t="shared" si="0"/>
        <v>CREATE DATABASE I224_PATRICIA34;</v>
      </c>
      <c r="J25" s="5" t="str">
        <f t="shared" si="4"/>
        <v>GRANT ALL PRIVILEGES ON I224_PATRICIA34.* TO l218_tlb;</v>
      </c>
    </row>
    <row r="26" spans="2:10" x14ac:dyDescent="0.25">
      <c r="B26" s="2" t="s">
        <v>24</v>
      </c>
      <c r="C26">
        <v>35</v>
      </c>
      <c r="D26" t="str">
        <f t="shared" si="1"/>
        <v xml:space="preserve">RAYSSA </v>
      </c>
      <c r="E26" t="str">
        <f t="shared" si="2"/>
        <v>RAYSSA</v>
      </c>
      <c r="F26" t="str">
        <f t="shared" si="3"/>
        <v>I224_RAYSSA35</v>
      </c>
      <c r="H26" s="4" t="str">
        <f t="shared" si="0"/>
        <v>CREATE DATABASE I224_RAYSSA35;</v>
      </c>
      <c r="J26" s="5" t="str">
        <f t="shared" si="4"/>
        <v>GRANT ALL PRIVILEGES ON I224_RAYSSA35.* TO l218_tlb;</v>
      </c>
    </row>
    <row r="27" spans="2:10" x14ac:dyDescent="0.25">
      <c r="B27" s="2" t="s">
        <v>25</v>
      </c>
      <c r="C27">
        <v>36</v>
      </c>
      <c r="D27" t="str">
        <f t="shared" si="1"/>
        <v xml:space="preserve">RENAN </v>
      </c>
      <c r="E27" t="str">
        <f t="shared" si="2"/>
        <v>RENAN</v>
      </c>
      <c r="F27" t="str">
        <f t="shared" si="3"/>
        <v>I224_RENAN36</v>
      </c>
      <c r="H27" s="4" t="str">
        <f t="shared" si="0"/>
        <v>CREATE DATABASE I224_RENAN36;</v>
      </c>
      <c r="J27" s="5" t="str">
        <f t="shared" si="4"/>
        <v>GRANT ALL PRIVILEGES ON I224_RENAN36.* TO l218_tlb;</v>
      </c>
    </row>
    <row r="28" spans="2:10" x14ac:dyDescent="0.25">
      <c r="B28" s="2" t="s">
        <v>26</v>
      </c>
      <c r="C28">
        <v>37</v>
      </c>
      <c r="D28" t="str">
        <f t="shared" si="1"/>
        <v xml:space="preserve">RENAN </v>
      </c>
      <c r="E28" t="str">
        <f t="shared" si="2"/>
        <v>RENAN</v>
      </c>
      <c r="F28" t="str">
        <f t="shared" si="3"/>
        <v>I224_RENAN37</v>
      </c>
      <c r="H28" s="4" t="str">
        <f t="shared" si="0"/>
        <v>CREATE DATABASE I224_RENAN37;</v>
      </c>
      <c r="J28" s="5" t="str">
        <f t="shared" si="4"/>
        <v>GRANT ALL PRIVILEGES ON I224_RENAN37.* TO l218_tlb;</v>
      </c>
    </row>
    <row r="29" spans="2:10" x14ac:dyDescent="0.25">
      <c r="B29" s="2" t="s">
        <v>27</v>
      </c>
      <c r="C29">
        <v>38</v>
      </c>
      <c r="D29" t="str">
        <f t="shared" si="1"/>
        <v xml:space="preserve">ROSELENE </v>
      </c>
      <c r="E29" t="str">
        <f t="shared" si="2"/>
        <v>ROSELENE</v>
      </c>
      <c r="F29" t="str">
        <f t="shared" si="3"/>
        <v>I224_ROSELENE38</v>
      </c>
      <c r="H29" s="4" t="str">
        <f t="shared" si="0"/>
        <v>CREATE DATABASE I224_ROSELENE38;</v>
      </c>
      <c r="J29" s="5" t="str">
        <f t="shared" si="4"/>
        <v>GRANT ALL PRIVILEGES ON I224_ROSELENE38.* TO l218_tlb;</v>
      </c>
    </row>
    <row r="30" spans="2:10" x14ac:dyDescent="0.25">
      <c r="B30" s="2" t="s">
        <v>28</v>
      </c>
      <c r="C30">
        <v>39</v>
      </c>
      <c r="D30" t="str">
        <f t="shared" si="1"/>
        <v xml:space="preserve">SUELI </v>
      </c>
      <c r="E30" t="str">
        <f t="shared" si="2"/>
        <v>SUELI</v>
      </c>
      <c r="F30" t="str">
        <f t="shared" si="3"/>
        <v>I224_SUELI39</v>
      </c>
      <c r="H30" s="4" t="str">
        <f t="shared" si="0"/>
        <v>CREATE DATABASE I224_SUELI39;</v>
      </c>
      <c r="J30" s="5" t="str">
        <f t="shared" si="4"/>
        <v>GRANT ALL PRIVILEGES ON I224_SUELI39.* TO l218_tlb;</v>
      </c>
    </row>
    <row r="31" spans="2:10" x14ac:dyDescent="0.25">
      <c r="B31" s="2" t="s">
        <v>29</v>
      </c>
      <c r="C31">
        <v>40</v>
      </c>
      <c r="D31" t="str">
        <f t="shared" si="1"/>
        <v xml:space="preserve">TATIANA </v>
      </c>
      <c r="E31" t="str">
        <f t="shared" si="2"/>
        <v>TATIANA</v>
      </c>
      <c r="F31" t="str">
        <f t="shared" si="3"/>
        <v>I224_TATIANA40</v>
      </c>
      <c r="H31" s="4" t="str">
        <f t="shared" si="0"/>
        <v>CREATE DATABASE I224_TATIANA40;</v>
      </c>
      <c r="J31" s="5" t="str">
        <f t="shared" si="4"/>
        <v>GRANT ALL PRIVILEGES ON I224_TATIANA40.* TO l218_tlb;</v>
      </c>
    </row>
    <row r="32" spans="2:10" x14ac:dyDescent="0.25">
      <c r="B32" s="2" t="s">
        <v>30</v>
      </c>
      <c r="C32">
        <v>41</v>
      </c>
      <c r="D32" t="str">
        <f t="shared" si="1"/>
        <v xml:space="preserve">THAIS </v>
      </c>
      <c r="E32" t="str">
        <f t="shared" si="2"/>
        <v>THAIS</v>
      </c>
      <c r="F32" t="str">
        <f t="shared" si="3"/>
        <v>I224_THAIS41</v>
      </c>
      <c r="H32" s="4" t="str">
        <f t="shared" si="0"/>
        <v>CREATE DATABASE I224_THAIS41;</v>
      </c>
      <c r="J32" s="5" t="str">
        <f t="shared" si="4"/>
        <v>GRANT ALL PRIVILEGES ON I224_THAIS41.* TO l218_tlb;</v>
      </c>
    </row>
    <row r="33" spans="2:10" x14ac:dyDescent="0.25">
      <c r="B33" s="2" t="s">
        <v>31</v>
      </c>
      <c r="C33">
        <v>42</v>
      </c>
      <c r="D33" t="str">
        <f t="shared" si="1"/>
        <v xml:space="preserve">THIAGO </v>
      </c>
      <c r="E33" t="str">
        <f t="shared" si="2"/>
        <v>THIAGO</v>
      </c>
      <c r="F33" t="str">
        <f t="shared" si="3"/>
        <v>I224_THIAGO42</v>
      </c>
      <c r="H33" s="4" t="str">
        <f t="shared" si="0"/>
        <v>CREATE DATABASE I224_THIAGO42;</v>
      </c>
      <c r="J33" s="5" t="str">
        <f t="shared" si="4"/>
        <v>GRANT ALL PRIVILEGES ON I224_THIAGO42.* TO l218_tlb;</v>
      </c>
    </row>
    <row r="34" spans="2:10" x14ac:dyDescent="0.25">
      <c r="B34" s="2" t="s">
        <v>32</v>
      </c>
      <c r="C34">
        <v>43</v>
      </c>
      <c r="D34" t="str">
        <f t="shared" si="1"/>
        <v xml:space="preserve">VITOR </v>
      </c>
      <c r="E34" t="str">
        <f t="shared" si="2"/>
        <v>VITOR</v>
      </c>
      <c r="F34" t="str">
        <f t="shared" si="3"/>
        <v>I224_VITOR43</v>
      </c>
      <c r="H34" s="4" t="str">
        <f t="shared" si="0"/>
        <v>CREATE DATABASE I224_VITOR43;</v>
      </c>
      <c r="J34" s="5" t="str">
        <f t="shared" si="4"/>
        <v>GRANT ALL PRIVILEGES ON I224_VITOR43.* TO l218_tlb;</v>
      </c>
    </row>
    <row r="35" spans="2:10" x14ac:dyDescent="0.25">
      <c r="B35" s="2" t="s">
        <v>33</v>
      </c>
      <c r="C35">
        <v>44</v>
      </c>
      <c r="D35" t="str">
        <f t="shared" si="1"/>
        <v xml:space="preserve">VITOR </v>
      </c>
      <c r="E35" t="str">
        <f t="shared" si="2"/>
        <v>VITOR</v>
      </c>
      <c r="F35" t="str">
        <f t="shared" si="3"/>
        <v>I224_VITOR44</v>
      </c>
      <c r="H35" s="4" t="str">
        <f t="shared" si="0"/>
        <v>CREATE DATABASE I224_VITOR44;</v>
      </c>
      <c r="J35" s="5" t="str">
        <f t="shared" si="4"/>
        <v>GRANT ALL PRIVILEGES ON I224_VITOR44.* TO l218_tlb;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zoomScale="145" zoomScaleNormal="145" workbookViewId="0">
      <selection activeCell="B6" sqref="B6"/>
    </sheetView>
  </sheetViews>
  <sheetFormatPr defaultRowHeight="23.25" x14ac:dyDescent="0.35"/>
  <cols>
    <col min="2" max="2" width="98.7109375" style="7" bestFit="1" customWidth="1"/>
  </cols>
  <sheetData>
    <row r="2" spans="2:2" x14ac:dyDescent="0.35">
      <c r="B2" s="7" t="s">
        <v>95</v>
      </c>
    </row>
    <row r="4" spans="2:2" x14ac:dyDescent="0.35">
      <c r="B4" s="7" t="s">
        <v>94</v>
      </c>
    </row>
    <row r="6" spans="2:2" x14ac:dyDescent="0.35">
      <c r="B6" s="7" t="s">
        <v>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379C-CECE-4243-89F3-0F60C4C7A15B}">
  <dimension ref="B1:P30"/>
  <sheetViews>
    <sheetView topLeftCell="A4" zoomScale="190" zoomScaleNormal="190" workbookViewId="0">
      <selection activeCell="G10" sqref="G10"/>
    </sheetView>
  </sheetViews>
  <sheetFormatPr defaultRowHeight="15" x14ac:dyDescent="0.25"/>
  <cols>
    <col min="1" max="1" width="4.140625" customWidth="1"/>
    <col min="2" max="2" width="37.140625" customWidth="1"/>
    <col min="4" max="4" width="10.7109375" customWidth="1"/>
    <col min="5" max="5" width="9.5703125" customWidth="1"/>
    <col min="6" max="6" width="10.42578125" customWidth="1"/>
    <col min="8" max="8" width="11.28515625" customWidth="1"/>
    <col min="9" max="9" width="9" customWidth="1"/>
  </cols>
  <sheetData>
    <row r="1" spans="2:11" x14ac:dyDescent="0.25">
      <c r="B1" t="s">
        <v>57</v>
      </c>
      <c r="C1" t="s">
        <v>81</v>
      </c>
    </row>
    <row r="3" spans="2:11" ht="28.5" customHeight="1" x14ac:dyDescent="0.25">
      <c r="B3" s="8" t="s">
        <v>55</v>
      </c>
      <c r="C3" s="17" t="s">
        <v>56</v>
      </c>
      <c r="D3" s="17"/>
      <c r="E3" s="17"/>
      <c r="F3" s="17"/>
      <c r="G3" s="17"/>
      <c r="H3" s="17"/>
    </row>
    <row r="4" spans="2:11" ht="13.5" customHeight="1" x14ac:dyDescent="0.25">
      <c r="B4" s="8"/>
      <c r="C4" s="12"/>
      <c r="D4" s="12"/>
      <c r="E4" s="12"/>
      <c r="F4" s="12"/>
      <c r="G4" s="12"/>
      <c r="H4" s="12"/>
    </row>
    <row r="5" spans="2:11" ht="13.5" customHeight="1" x14ac:dyDescent="0.25">
      <c r="B5" s="8" t="s">
        <v>58</v>
      </c>
      <c r="C5" s="13" t="s">
        <v>60</v>
      </c>
      <c r="D5" s="12" t="s">
        <v>58</v>
      </c>
      <c r="E5" s="13" t="s">
        <v>59</v>
      </c>
      <c r="F5" s="12" t="s">
        <v>58</v>
      </c>
      <c r="G5" s="13" t="s">
        <v>61</v>
      </c>
      <c r="H5" s="12" t="s">
        <v>58</v>
      </c>
      <c r="J5" s="12" t="s">
        <v>64</v>
      </c>
    </row>
    <row r="6" spans="2:11" x14ac:dyDescent="0.25">
      <c r="B6" t="s">
        <v>62</v>
      </c>
      <c r="C6" s="15" t="s">
        <v>85</v>
      </c>
      <c r="D6" t="s">
        <v>63</v>
      </c>
      <c r="E6">
        <v>224</v>
      </c>
      <c r="F6" t="s">
        <v>63</v>
      </c>
      <c r="G6" t="s">
        <v>87</v>
      </c>
      <c r="H6" t="s">
        <v>39</v>
      </c>
      <c r="J6" t="str">
        <f>_xlfn.CONCAT(B6,C6,D6,E6,F6,G6,H6)</f>
        <v>CREATE DATABASE bd_tcc_infonet_224_monit_prev;</v>
      </c>
    </row>
    <row r="7" spans="2:11" x14ac:dyDescent="0.25">
      <c r="B7" t="s">
        <v>62</v>
      </c>
      <c r="C7" t="str">
        <f>C6</f>
        <v>infonet</v>
      </c>
      <c r="D7" t="s">
        <v>63</v>
      </c>
      <c r="E7">
        <f>E6</f>
        <v>224</v>
      </c>
      <c r="F7" t="s">
        <v>63</v>
      </c>
      <c r="G7" t="s">
        <v>86</v>
      </c>
      <c r="H7" t="s">
        <v>39</v>
      </c>
      <c r="J7" t="str">
        <f t="shared" ref="J7:J12" si="0">_xlfn.CONCAT(B7,C7,D7,E7,F7,G7,H7)</f>
        <v>CREATE DATABASE bd_tcc_infonet_224_farmacia;</v>
      </c>
    </row>
    <row r="8" spans="2:11" x14ac:dyDescent="0.25">
      <c r="B8" t="s">
        <v>62</v>
      </c>
      <c r="C8" t="str">
        <f>C6</f>
        <v>infonet</v>
      </c>
      <c r="D8" t="s">
        <v>63</v>
      </c>
      <c r="E8">
        <f>E6</f>
        <v>224</v>
      </c>
      <c r="F8" t="s">
        <v>63</v>
      </c>
      <c r="G8" t="s">
        <v>90</v>
      </c>
      <c r="H8" t="s">
        <v>39</v>
      </c>
      <c r="J8" t="str">
        <f t="shared" si="0"/>
        <v>CREATE DATABASE bd_tcc_infonet_224_skincs;</v>
      </c>
    </row>
    <row r="9" spans="2:11" x14ac:dyDescent="0.25">
      <c r="B9" t="s">
        <v>62</v>
      </c>
      <c r="C9" t="str">
        <f>C6</f>
        <v>infonet</v>
      </c>
      <c r="D9" t="s">
        <v>63</v>
      </c>
      <c r="E9">
        <f>E6</f>
        <v>224</v>
      </c>
      <c r="F9" t="s">
        <v>63</v>
      </c>
      <c r="G9" t="s">
        <v>92</v>
      </c>
      <c r="H9" t="s">
        <v>39</v>
      </c>
      <c r="J9" t="str">
        <f t="shared" si="0"/>
        <v>CREATE DATABASE bd_tcc_infonet_224_condominio;</v>
      </c>
    </row>
    <row r="10" spans="2:11" x14ac:dyDescent="0.25">
      <c r="B10" t="s">
        <v>62</v>
      </c>
      <c r="C10" t="str">
        <f>C6</f>
        <v>infonet</v>
      </c>
      <c r="D10" t="s">
        <v>63</v>
      </c>
      <c r="E10">
        <f>E6</f>
        <v>224</v>
      </c>
      <c r="F10" t="s">
        <v>63</v>
      </c>
      <c r="G10" t="s">
        <v>93</v>
      </c>
      <c r="H10" t="s">
        <v>39</v>
      </c>
      <c r="J10" t="str">
        <f t="shared" si="0"/>
        <v>CREATE DATABASE bd_tcc_infonet_224_amendoim;</v>
      </c>
    </row>
    <row r="11" spans="2:11" x14ac:dyDescent="0.25">
      <c r="B11" t="s">
        <v>62</v>
      </c>
      <c r="C11" t="str">
        <f>C6</f>
        <v>infonet</v>
      </c>
      <c r="D11" t="s">
        <v>63</v>
      </c>
      <c r="E11">
        <f>E6</f>
        <v>224</v>
      </c>
      <c r="F11" t="s">
        <v>63</v>
      </c>
      <c r="G11" t="s">
        <v>65</v>
      </c>
      <c r="H11" t="s">
        <v>39</v>
      </c>
      <c r="J11" t="str">
        <f t="shared" si="0"/>
        <v>CREATE DATABASE bd_tcc_infonet_224_g6;</v>
      </c>
    </row>
    <row r="12" spans="2:11" x14ac:dyDescent="0.25">
      <c r="B12" t="s">
        <v>62</v>
      </c>
      <c r="C12" t="str">
        <f>C6</f>
        <v>infonet</v>
      </c>
      <c r="D12" t="s">
        <v>63</v>
      </c>
      <c r="E12">
        <f>E6</f>
        <v>224</v>
      </c>
      <c r="F12" t="s">
        <v>63</v>
      </c>
      <c r="G12" t="s">
        <v>66</v>
      </c>
      <c r="H12" t="s">
        <v>39</v>
      </c>
      <c r="J12" t="str">
        <f t="shared" si="0"/>
        <v>CREATE DATABASE bd_tcc_infonet_224_g7;</v>
      </c>
    </row>
    <row r="14" spans="2:11" x14ac:dyDescent="0.25">
      <c r="C14" s="14" t="s">
        <v>60</v>
      </c>
      <c r="E14" s="14" t="s">
        <v>59</v>
      </c>
      <c r="G14" s="14" t="s">
        <v>61</v>
      </c>
      <c r="I14" s="14" t="s">
        <v>69</v>
      </c>
    </row>
    <row r="15" spans="2:11" x14ac:dyDescent="0.25">
      <c r="B15" t="s">
        <v>67</v>
      </c>
      <c r="C15" t="str">
        <f>C6</f>
        <v>infonet</v>
      </c>
      <c r="D15" t="s">
        <v>63</v>
      </c>
      <c r="E15">
        <f>E6</f>
        <v>224</v>
      </c>
      <c r="F15" t="s">
        <v>63</v>
      </c>
      <c r="G15" t="str">
        <f t="shared" ref="G15:G21" si="1">G6</f>
        <v>monit_prev</v>
      </c>
      <c r="H15" s="9" t="s">
        <v>68</v>
      </c>
      <c r="I15" t="s">
        <v>88</v>
      </c>
      <c r="J15" s="9" t="s">
        <v>76</v>
      </c>
      <c r="K15" t="str">
        <f>_xlfn.CONCAT(B15,C15,D15,E15,F15,G15,H15,I15,J15)</f>
        <v>CREATE USER 'us_infonet_224_monit_prev' IDENTIFIED BY 'mnt489prev';</v>
      </c>
    </row>
    <row r="16" spans="2:11" x14ac:dyDescent="0.25">
      <c r="B16" t="s">
        <v>67</v>
      </c>
      <c r="C16" t="str">
        <f>C6</f>
        <v>infonet</v>
      </c>
      <c r="D16" t="s">
        <v>63</v>
      </c>
      <c r="E16">
        <f>E6</f>
        <v>224</v>
      </c>
      <c r="F16" t="s">
        <v>63</v>
      </c>
      <c r="G16" t="str">
        <f t="shared" si="1"/>
        <v>farmacia</v>
      </c>
      <c r="H16" s="9" t="s">
        <v>68</v>
      </c>
      <c r="I16" t="s">
        <v>89</v>
      </c>
      <c r="J16" s="9" t="s">
        <v>76</v>
      </c>
      <c r="K16" t="str">
        <f t="shared" ref="K16:K21" si="2">_xlfn.CONCAT(B16,C16,D16,E16,F16,G16,H16,I16,J16)</f>
        <v>CREATE USER 'us_infonet_224_farmacia' IDENTIFIED BY 'frm590aai';</v>
      </c>
    </row>
    <row r="17" spans="2:16" x14ac:dyDescent="0.25">
      <c r="B17" t="s">
        <v>67</v>
      </c>
      <c r="C17" t="str">
        <f>C6</f>
        <v>infonet</v>
      </c>
      <c r="D17" t="s">
        <v>63</v>
      </c>
      <c r="E17">
        <f>E6</f>
        <v>224</v>
      </c>
      <c r="F17" t="s">
        <v>63</v>
      </c>
      <c r="G17" t="str">
        <f t="shared" si="1"/>
        <v>skincs</v>
      </c>
      <c r="H17" s="9" t="s">
        <v>68</v>
      </c>
      <c r="I17" t="s">
        <v>91</v>
      </c>
      <c r="J17" s="9" t="s">
        <v>76</v>
      </c>
      <c r="K17" t="str">
        <f t="shared" si="2"/>
        <v>CREATE USER 'us_infonet_224_skincs' IDENTIFIED BY 'skn061ics';</v>
      </c>
    </row>
    <row r="18" spans="2:16" x14ac:dyDescent="0.25">
      <c r="B18" t="s">
        <v>67</v>
      </c>
      <c r="C18" t="str">
        <f>C6</f>
        <v>infonet</v>
      </c>
      <c r="D18" t="s">
        <v>63</v>
      </c>
      <c r="E18">
        <f>E6</f>
        <v>224</v>
      </c>
      <c r="F18" t="s">
        <v>63</v>
      </c>
      <c r="G18" t="str">
        <f t="shared" si="1"/>
        <v>condominio</v>
      </c>
      <c r="H18" s="9" t="s">
        <v>68</v>
      </c>
      <c r="I18" t="s">
        <v>72</v>
      </c>
      <c r="J18" s="9" t="s">
        <v>76</v>
      </c>
      <c r="K18" t="str">
        <f t="shared" si="2"/>
        <v>CREATE USER 'us_infonet_224_condominio' IDENTIFIED BY 'of2723';</v>
      </c>
    </row>
    <row r="19" spans="2:16" x14ac:dyDescent="0.25">
      <c r="B19" t="s">
        <v>67</v>
      </c>
      <c r="C19" t="str">
        <f>C6</f>
        <v>infonet</v>
      </c>
      <c r="D19" t="s">
        <v>63</v>
      </c>
      <c r="E19">
        <f>E6</f>
        <v>224</v>
      </c>
      <c r="F19" t="s">
        <v>63</v>
      </c>
      <c r="G19" t="str">
        <f t="shared" si="1"/>
        <v>amendoim</v>
      </c>
      <c r="H19" s="9" t="s">
        <v>68</v>
      </c>
      <c r="I19" t="s">
        <v>73</v>
      </c>
      <c r="J19" s="9" t="s">
        <v>76</v>
      </c>
      <c r="K19" t="str">
        <f t="shared" si="2"/>
        <v>CREATE USER 'us_infonet_224_amendoim' IDENTIFIED BY 'ug2327';</v>
      </c>
    </row>
    <row r="20" spans="2:16" x14ac:dyDescent="0.25">
      <c r="B20" t="s">
        <v>67</v>
      </c>
      <c r="C20" t="str">
        <f>C6</f>
        <v>infonet</v>
      </c>
      <c r="D20" t="s">
        <v>63</v>
      </c>
      <c r="E20">
        <f>E6</f>
        <v>224</v>
      </c>
      <c r="F20" t="s">
        <v>63</v>
      </c>
      <c r="G20" t="str">
        <f t="shared" si="1"/>
        <v>g6</v>
      </c>
      <c r="H20" s="9" t="s">
        <v>68</v>
      </c>
      <c r="I20" t="s">
        <v>74</v>
      </c>
      <c r="J20" s="9" t="s">
        <v>76</v>
      </c>
      <c r="K20" t="str">
        <f t="shared" si="2"/>
        <v>CREATE USER 'us_infonet_224_g6' IDENTIFIED BY 'ah7372';</v>
      </c>
    </row>
    <row r="21" spans="2:16" x14ac:dyDescent="0.25">
      <c r="B21" t="s">
        <v>67</v>
      </c>
      <c r="C21" t="str">
        <f>C6</f>
        <v>infonet</v>
      </c>
      <c r="D21" t="s">
        <v>63</v>
      </c>
      <c r="E21">
        <f>E6</f>
        <v>224</v>
      </c>
      <c r="F21" t="s">
        <v>63</v>
      </c>
      <c r="G21" t="str">
        <f t="shared" si="1"/>
        <v>g7</v>
      </c>
      <c r="H21" s="9" t="s">
        <v>68</v>
      </c>
      <c r="I21" t="s">
        <v>75</v>
      </c>
      <c r="J21" s="9" t="s">
        <v>76</v>
      </c>
      <c r="K21" t="str">
        <f t="shared" si="2"/>
        <v>CREATE USER 'us_infonet_224_g7' IDENTIFIED BY 'ej5213';</v>
      </c>
    </row>
    <row r="23" spans="2:16" x14ac:dyDescent="0.25">
      <c r="C23" s="14" t="s">
        <v>60</v>
      </c>
      <c r="E23" s="14" t="s">
        <v>59</v>
      </c>
      <c r="G23" s="14" t="s">
        <v>61</v>
      </c>
      <c r="I23" s="14" t="s">
        <v>60</v>
      </c>
      <c r="K23" s="14" t="s">
        <v>59</v>
      </c>
      <c r="M23" t="s">
        <v>61</v>
      </c>
    </row>
    <row r="24" spans="2:16" x14ac:dyDescent="0.25">
      <c r="B24" t="s">
        <v>70</v>
      </c>
      <c r="C24" t="str">
        <f>C6</f>
        <v>infonet</v>
      </c>
      <c r="D24" t="s">
        <v>63</v>
      </c>
      <c r="E24">
        <f>E6</f>
        <v>224</v>
      </c>
      <c r="F24" t="s">
        <v>63</v>
      </c>
      <c r="G24" t="str">
        <f t="shared" ref="G24:G30" si="3">G6</f>
        <v>monit_prev</v>
      </c>
      <c r="H24" t="s">
        <v>71</v>
      </c>
      <c r="I24" t="str">
        <f>C24</f>
        <v>infonet</v>
      </c>
      <c r="J24" t="s">
        <v>63</v>
      </c>
      <c r="K24">
        <f>E6</f>
        <v>224</v>
      </c>
      <c r="L24" t="s">
        <v>63</v>
      </c>
      <c r="M24" t="str">
        <f>G15</f>
        <v>monit_prev</v>
      </c>
      <c r="N24" t="s">
        <v>39</v>
      </c>
      <c r="P24" t="str">
        <f>_xlfn.CONCAT(B24,C24,D24,E24,F24,G24,H24,I24,J24,K24,L24,M24,N24)</f>
        <v>GRANT ALL PRIVILEGES ON bd_tcc_infonet_224_monit_prev.* TO us_infonet_224_monit_prev;</v>
      </c>
    </row>
    <row r="25" spans="2:16" x14ac:dyDescent="0.25">
      <c r="B25" t="s">
        <v>70</v>
      </c>
      <c r="C25" t="str">
        <f>C6</f>
        <v>infonet</v>
      </c>
      <c r="D25" t="s">
        <v>63</v>
      </c>
      <c r="E25">
        <f>E6</f>
        <v>224</v>
      </c>
      <c r="F25" t="s">
        <v>63</v>
      </c>
      <c r="G25" t="str">
        <f t="shared" si="3"/>
        <v>farmacia</v>
      </c>
      <c r="H25" t="s">
        <v>71</v>
      </c>
      <c r="I25" t="str">
        <f t="shared" ref="I25:I30" si="4">C25</f>
        <v>infonet</v>
      </c>
      <c r="J25" t="s">
        <v>63</v>
      </c>
      <c r="K25">
        <f>E6</f>
        <v>224</v>
      </c>
      <c r="L25" t="s">
        <v>63</v>
      </c>
      <c r="M25" t="str">
        <f t="shared" ref="M25:M30" si="5">G16</f>
        <v>farmacia</v>
      </c>
      <c r="N25" t="s">
        <v>39</v>
      </c>
      <c r="P25" t="str">
        <f t="shared" ref="P25:P30" si="6">_xlfn.CONCAT(B25,C25,D25,E25,F25,G25,H25,I25,J25,K25,L25,M25,N25)</f>
        <v>GRANT ALL PRIVILEGES ON bd_tcc_infonet_224_farmacia.* TO us_infonet_224_farmacia;</v>
      </c>
    </row>
    <row r="26" spans="2:16" x14ac:dyDescent="0.25">
      <c r="B26" t="s">
        <v>70</v>
      </c>
      <c r="C26" t="str">
        <f>C6</f>
        <v>infonet</v>
      </c>
      <c r="D26" t="s">
        <v>63</v>
      </c>
      <c r="E26">
        <f>E6</f>
        <v>224</v>
      </c>
      <c r="F26" t="s">
        <v>63</v>
      </c>
      <c r="G26" t="str">
        <f t="shared" si="3"/>
        <v>skincs</v>
      </c>
      <c r="H26" t="s">
        <v>71</v>
      </c>
      <c r="I26" t="str">
        <f t="shared" si="4"/>
        <v>infonet</v>
      </c>
      <c r="J26" t="s">
        <v>63</v>
      </c>
      <c r="K26">
        <f>E6</f>
        <v>224</v>
      </c>
      <c r="L26" t="s">
        <v>63</v>
      </c>
      <c r="M26" t="str">
        <f t="shared" si="5"/>
        <v>skincs</v>
      </c>
      <c r="N26" t="s">
        <v>39</v>
      </c>
      <c r="P26" t="str">
        <f t="shared" si="6"/>
        <v>GRANT ALL PRIVILEGES ON bd_tcc_infonet_224_skincs.* TO us_infonet_224_skincs;</v>
      </c>
    </row>
    <row r="27" spans="2:16" x14ac:dyDescent="0.25">
      <c r="B27" t="s">
        <v>70</v>
      </c>
      <c r="C27" t="str">
        <f>C6</f>
        <v>infonet</v>
      </c>
      <c r="D27" t="s">
        <v>63</v>
      </c>
      <c r="E27">
        <f>E6</f>
        <v>224</v>
      </c>
      <c r="F27" t="s">
        <v>63</v>
      </c>
      <c r="G27" t="str">
        <f t="shared" si="3"/>
        <v>condominio</v>
      </c>
      <c r="H27" t="s">
        <v>71</v>
      </c>
      <c r="I27" t="str">
        <f t="shared" si="4"/>
        <v>infonet</v>
      </c>
      <c r="J27" t="s">
        <v>63</v>
      </c>
      <c r="K27">
        <f>E6</f>
        <v>224</v>
      </c>
      <c r="L27" t="s">
        <v>63</v>
      </c>
      <c r="M27" t="str">
        <f t="shared" si="5"/>
        <v>condominio</v>
      </c>
      <c r="N27" t="s">
        <v>39</v>
      </c>
      <c r="P27" t="str">
        <f t="shared" si="6"/>
        <v>GRANT ALL PRIVILEGES ON bd_tcc_infonet_224_condominio.* TO us_infonet_224_condominio;</v>
      </c>
    </row>
    <row r="28" spans="2:16" x14ac:dyDescent="0.25">
      <c r="B28" t="s">
        <v>70</v>
      </c>
      <c r="C28" t="str">
        <f>C6</f>
        <v>infonet</v>
      </c>
      <c r="D28" t="s">
        <v>63</v>
      </c>
      <c r="E28">
        <f>E6</f>
        <v>224</v>
      </c>
      <c r="F28" t="s">
        <v>63</v>
      </c>
      <c r="G28" t="str">
        <f t="shared" si="3"/>
        <v>amendoim</v>
      </c>
      <c r="H28" t="s">
        <v>71</v>
      </c>
      <c r="I28" t="str">
        <f t="shared" si="4"/>
        <v>infonet</v>
      </c>
      <c r="J28" t="s">
        <v>63</v>
      </c>
      <c r="K28">
        <f>E6</f>
        <v>224</v>
      </c>
      <c r="L28" t="s">
        <v>63</v>
      </c>
      <c r="M28" t="str">
        <f t="shared" si="5"/>
        <v>amendoim</v>
      </c>
      <c r="N28" t="s">
        <v>39</v>
      </c>
      <c r="P28" t="str">
        <f t="shared" si="6"/>
        <v>GRANT ALL PRIVILEGES ON bd_tcc_infonet_224_amendoim.* TO us_infonet_224_amendoim;</v>
      </c>
    </row>
    <row r="29" spans="2:16" x14ac:dyDescent="0.25">
      <c r="B29" t="s">
        <v>70</v>
      </c>
      <c r="C29" t="str">
        <f>C6</f>
        <v>infonet</v>
      </c>
      <c r="D29" t="s">
        <v>63</v>
      </c>
      <c r="E29">
        <f>E6</f>
        <v>224</v>
      </c>
      <c r="F29" t="s">
        <v>63</v>
      </c>
      <c r="G29" t="str">
        <f t="shared" si="3"/>
        <v>g6</v>
      </c>
      <c r="H29" t="s">
        <v>71</v>
      </c>
      <c r="I29" t="str">
        <f t="shared" si="4"/>
        <v>infonet</v>
      </c>
      <c r="J29" t="s">
        <v>63</v>
      </c>
      <c r="K29">
        <f>E6</f>
        <v>224</v>
      </c>
      <c r="L29" t="s">
        <v>63</v>
      </c>
      <c r="M29" t="str">
        <f t="shared" si="5"/>
        <v>g6</v>
      </c>
      <c r="N29" t="s">
        <v>39</v>
      </c>
      <c r="P29" t="str">
        <f t="shared" si="6"/>
        <v>GRANT ALL PRIVILEGES ON bd_tcc_infonet_224_g6.* TO us_infonet_224_g6;</v>
      </c>
    </row>
    <row r="30" spans="2:16" x14ac:dyDescent="0.25">
      <c r="B30" t="s">
        <v>70</v>
      </c>
      <c r="C30" t="str">
        <f>C6</f>
        <v>infonet</v>
      </c>
      <c r="D30" t="s">
        <v>63</v>
      </c>
      <c r="E30">
        <f>E6</f>
        <v>224</v>
      </c>
      <c r="F30" t="s">
        <v>63</v>
      </c>
      <c r="G30" t="str">
        <f t="shared" si="3"/>
        <v>g7</v>
      </c>
      <c r="H30" t="s">
        <v>71</v>
      </c>
      <c r="I30" t="str">
        <f t="shared" si="4"/>
        <v>infonet</v>
      </c>
      <c r="J30" t="s">
        <v>63</v>
      </c>
      <c r="K30">
        <f>E6</f>
        <v>224</v>
      </c>
      <c r="L30" t="s">
        <v>63</v>
      </c>
      <c r="M30" t="str">
        <f t="shared" si="5"/>
        <v>g7</v>
      </c>
      <c r="N30" t="s">
        <v>39</v>
      </c>
      <c r="P30" t="str">
        <f t="shared" si="6"/>
        <v>GRANT ALL PRIVILEGES ON bd_tcc_infonet_224_g7.* TO us_infonet_224_g7;</v>
      </c>
    </row>
  </sheetData>
  <mergeCells count="1">
    <mergeCell ref="C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706B-ABEC-4F24-A200-5CA906E0DFC6}">
  <dimension ref="B2:E5"/>
  <sheetViews>
    <sheetView zoomScale="175" zoomScaleNormal="175" workbookViewId="0">
      <selection activeCell="B6" sqref="B6"/>
    </sheetView>
  </sheetViews>
  <sheetFormatPr defaultRowHeight="28.5" x14ac:dyDescent="0.45"/>
  <cols>
    <col min="2" max="2" width="28.5703125" style="10" bestFit="1" customWidth="1"/>
    <col min="3" max="3" width="62.28515625" customWidth="1"/>
  </cols>
  <sheetData>
    <row r="2" spans="2:5" x14ac:dyDescent="0.45">
      <c r="B2" s="10" t="s">
        <v>78</v>
      </c>
      <c r="C2" s="11" t="str">
        <f>BD_TCC!B1</f>
        <v>10.67.22.216</v>
      </c>
      <c r="E2" s="16" t="s">
        <v>82</v>
      </c>
    </row>
    <row r="3" spans="2:5" x14ac:dyDescent="0.45">
      <c r="B3" s="10" t="s">
        <v>79</v>
      </c>
      <c r="C3" s="11" t="str">
        <f>_xlfn.CONCAT(E3,BD_TCC!C6,BD_TCC!D6,BD_TCC!E6,BD_TCC!F6,BD_TCC!G6)</f>
        <v>bd_tcc_infonet_224_monit_prev</v>
      </c>
      <c r="E3" s="16" t="s">
        <v>83</v>
      </c>
    </row>
    <row r="4" spans="2:5" x14ac:dyDescent="0.45">
      <c r="B4" s="10" t="s">
        <v>77</v>
      </c>
      <c r="C4" s="11" t="str">
        <f>_xlfn.CONCAT(E4,BD_TCC!C15,BD_TCC!D15,BD_TCC!E15,BD_TCC!F15,BD_TCC!G15)</f>
        <v>us_infonet_224_monit_prev</v>
      </c>
      <c r="E4" s="16" t="s">
        <v>84</v>
      </c>
    </row>
    <row r="5" spans="2:5" x14ac:dyDescent="0.45">
      <c r="B5" s="10" t="s">
        <v>80</v>
      </c>
      <c r="C5" s="11" t="str">
        <f>BD_TCC!I15</f>
        <v>mnt489prev</v>
      </c>
      <c r="E5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AC07-4BBE-4D9B-A9A6-56A482BFD389}">
  <dimension ref="B2:E5"/>
  <sheetViews>
    <sheetView zoomScale="190" zoomScaleNormal="190" workbookViewId="0">
      <selection activeCell="F7" sqref="F7"/>
    </sheetView>
  </sheetViews>
  <sheetFormatPr defaultRowHeight="28.5" x14ac:dyDescent="0.45"/>
  <cols>
    <col min="2" max="2" width="28.5703125" style="10" bestFit="1" customWidth="1"/>
    <col min="3" max="3" width="49.42578125" bestFit="1" customWidth="1"/>
  </cols>
  <sheetData>
    <row r="2" spans="2:5" x14ac:dyDescent="0.45">
      <c r="B2" s="10" t="s">
        <v>78</v>
      </c>
      <c r="C2" s="11" t="str">
        <f>BD_TCC!B1</f>
        <v>10.67.22.216</v>
      </c>
      <c r="E2" s="16" t="s">
        <v>82</v>
      </c>
    </row>
    <row r="3" spans="2:5" x14ac:dyDescent="0.45">
      <c r="B3" s="10" t="s">
        <v>79</v>
      </c>
      <c r="C3" s="11" t="str">
        <f>_xlfn.CONCAT(E3,BD_TCC!C7,BD_TCC!D7,BD_TCC!E7,BD_TCC!F7,BD_TCC!G7)</f>
        <v>bd_tcc_infonet_224_farmacia</v>
      </c>
      <c r="E3" s="16" t="s">
        <v>83</v>
      </c>
    </row>
    <row r="4" spans="2:5" x14ac:dyDescent="0.45">
      <c r="B4" s="10" t="s">
        <v>77</v>
      </c>
      <c r="C4" s="11" t="str">
        <f>_xlfn.CONCAT(E4,BD_TCC!C16,BD_TCC!D16,BD_TCC!E16,BD_TCC!F16,BD_TCC!G16)</f>
        <v>us_infonet_224_farmacia</v>
      </c>
      <c r="E4" s="16" t="s">
        <v>84</v>
      </c>
    </row>
    <row r="5" spans="2:5" x14ac:dyDescent="0.45">
      <c r="B5" s="10" t="s">
        <v>80</v>
      </c>
      <c r="C5" s="11" t="str">
        <f>BD_TCC!I16</f>
        <v>frm590aai</v>
      </c>
      <c r="E5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E32-8401-4D9A-A3E4-FEE1FF3823C5}">
  <dimension ref="B2:E5"/>
  <sheetViews>
    <sheetView zoomScale="190" zoomScaleNormal="190" workbookViewId="0">
      <selection activeCell="G6" sqref="G6"/>
    </sheetView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78</v>
      </c>
      <c r="C2" s="11" t="str">
        <f>BD_TCC!B1</f>
        <v>10.67.22.216</v>
      </c>
      <c r="E2" s="16" t="s">
        <v>82</v>
      </c>
    </row>
    <row r="3" spans="2:5" x14ac:dyDescent="0.45">
      <c r="B3" s="10" t="s">
        <v>79</v>
      </c>
      <c r="C3" s="11" t="str">
        <f>_xlfn.CONCAT(E3,BD_TCC!C8,BD_TCC!D8,BD_TCC!E8,BD_TCC!F8,BD_TCC!G8)</f>
        <v>bd_tcc_infonet_224_skincs</v>
      </c>
      <c r="E3" s="16" t="s">
        <v>83</v>
      </c>
    </row>
    <row r="4" spans="2:5" x14ac:dyDescent="0.45">
      <c r="B4" s="10" t="s">
        <v>77</v>
      </c>
      <c r="C4" s="11" t="str">
        <f>_xlfn.CONCAT(E4,BD_TCC!C17,BD_TCC!D17,BD_TCC!E17,BD_TCC!F17,BD_TCC!G17)</f>
        <v>us_infonet_224_skincs</v>
      </c>
      <c r="E4" s="16" t="s">
        <v>84</v>
      </c>
    </row>
    <row r="5" spans="2:5" x14ac:dyDescent="0.45">
      <c r="B5" s="10" t="s">
        <v>80</v>
      </c>
      <c r="C5" s="11" t="str">
        <f>BD_TCC!I17</f>
        <v>skn061ics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CBC2-8E33-48CB-966C-44CC64B29DCA}">
  <dimension ref="B2:E5"/>
  <sheetViews>
    <sheetView zoomScale="160" zoomScaleNormal="160" workbookViewId="0">
      <selection activeCell="H7" sqref="H7"/>
    </sheetView>
  </sheetViews>
  <sheetFormatPr defaultRowHeight="28.5" x14ac:dyDescent="0.45"/>
  <cols>
    <col min="2" max="2" width="28.5703125" style="10" bestFit="1" customWidth="1"/>
    <col min="3" max="3" width="54.42578125" bestFit="1" customWidth="1"/>
  </cols>
  <sheetData>
    <row r="2" spans="2:5" x14ac:dyDescent="0.45">
      <c r="B2" s="10" t="s">
        <v>78</v>
      </c>
      <c r="C2" s="11" t="str">
        <f>BD_TCC!B1</f>
        <v>10.67.22.216</v>
      </c>
      <c r="E2" t="s">
        <v>82</v>
      </c>
    </row>
    <row r="3" spans="2:5" x14ac:dyDescent="0.45">
      <c r="B3" s="10" t="s">
        <v>79</v>
      </c>
      <c r="C3" s="11" t="str">
        <f>_xlfn.CONCAT(E3,BD_TCC!C9,BD_TCC!D9,BD_TCC!E9,BD_TCC!F9,BD_TCC!G9)</f>
        <v>bd_tcc_infonet_224_condominio</v>
      </c>
      <c r="E3" t="s">
        <v>83</v>
      </c>
    </row>
    <row r="4" spans="2:5" x14ac:dyDescent="0.45">
      <c r="B4" s="10" t="s">
        <v>77</v>
      </c>
      <c r="C4" s="11" t="str">
        <f>_xlfn.CONCAT(E4,BD_TCC!C18,BD_TCC!D18,BD_TCC!E18,BD_TCC!F18,BD_TCC!G18)</f>
        <v>us_infonet_224_condominio</v>
      </c>
      <c r="E4" t="s">
        <v>84</v>
      </c>
    </row>
    <row r="5" spans="2:5" x14ac:dyDescent="0.45">
      <c r="B5" s="10" t="s">
        <v>80</v>
      </c>
      <c r="C5" s="11" t="str">
        <f>BD_TCC!I18</f>
        <v>of2723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4355-97A6-42C0-8356-CA6A3D767C57}">
  <dimension ref="B2:E5"/>
  <sheetViews>
    <sheetView zoomScale="160" zoomScaleNormal="160" workbookViewId="0">
      <selection activeCell="G8" sqref="G8"/>
    </sheetView>
  </sheetViews>
  <sheetFormatPr defaultRowHeight="28.5" x14ac:dyDescent="0.45"/>
  <cols>
    <col min="2" max="2" width="28.5703125" style="10" bestFit="1" customWidth="1"/>
    <col min="3" max="3" width="52.85546875" bestFit="1" customWidth="1"/>
  </cols>
  <sheetData>
    <row r="2" spans="2:5" x14ac:dyDescent="0.45">
      <c r="B2" s="10" t="s">
        <v>78</v>
      </c>
      <c r="C2" s="11" t="str">
        <f>BD_TCC!B1</f>
        <v>10.67.22.216</v>
      </c>
      <c r="E2" t="s">
        <v>82</v>
      </c>
    </row>
    <row r="3" spans="2:5" x14ac:dyDescent="0.45">
      <c r="B3" s="10" t="s">
        <v>79</v>
      </c>
      <c r="C3" s="11" t="str">
        <f>_xlfn.CONCAT(E3,BD_TCC!C10,BD_TCC!D10,BD_TCC!E10,BD_TCC!F10,BD_TCC!G10)</f>
        <v>bd_tcc_infonet_224_amendoim</v>
      </c>
      <c r="E3" t="s">
        <v>83</v>
      </c>
    </row>
    <row r="4" spans="2:5" x14ac:dyDescent="0.45">
      <c r="B4" s="10" t="s">
        <v>77</v>
      </c>
      <c r="C4" s="11" t="str">
        <f>_xlfn.CONCAT(E4,BD_TCC!C19,BD_TCC!D19,BD_TCC!E19,BD_TCC!F19,BD_TCC!G19)</f>
        <v>us_infonet_224_amendoim</v>
      </c>
      <c r="E4" t="s">
        <v>84</v>
      </c>
    </row>
    <row r="5" spans="2:5" x14ac:dyDescent="0.45">
      <c r="B5" s="10" t="s">
        <v>80</v>
      </c>
      <c r="C5" s="11" t="str">
        <f>BD_TCC!I19</f>
        <v>ug2327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976-863F-40D9-BC27-A3969D0EBCFE}">
  <dimension ref="B2:E5"/>
  <sheetViews>
    <sheetView workbookViewId="0">
      <selection activeCell="C4" sqref="C4"/>
    </sheetView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78</v>
      </c>
      <c r="C2" s="11" t="str">
        <f>BD_TCC!B1</f>
        <v>10.67.22.216</v>
      </c>
      <c r="E2" t="s">
        <v>82</v>
      </c>
    </row>
    <row r="3" spans="2:5" x14ac:dyDescent="0.45">
      <c r="B3" s="10" t="s">
        <v>79</v>
      </c>
      <c r="C3" s="11" t="str">
        <f>_xlfn.CONCAT(E3,BD_TCC!C11,BD_TCC!D11,BD_TCC!E11,BD_TCC!F11,BD_TCC!G11)</f>
        <v>bd_tcc_infonet_224_g6</v>
      </c>
      <c r="E3" t="s">
        <v>83</v>
      </c>
    </row>
    <row r="4" spans="2:5" x14ac:dyDescent="0.45">
      <c r="B4" s="10" t="s">
        <v>77</v>
      </c>
      <c r="C4" s="11" t="str">
        <f>_xlfn.CONCAT(E4,BD_TCC!C20,BD_TCC!D20,BD_TCC!E20,BD_TCC!F20,BD_TCC!G20)</f>
        <v>us_infonet_224_g6</v>
      </c>
      <c r="E4" t="s">
        <v>84</v>
      </c>
    </row>
    <row r="5" spans="2:5" x14ac:dyDescent="0.45">
      <c r="B5" s="10" t="s">
        <v>80</v>
      </c>
      <c r="C5" s="11" t="str">
        <f>BD_TCC!I20</f>
        <v>ah7372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F565-CCD6-4AD2-9460-65D9FF26AB17}">
  <dimension ref="B2:E5"/>
  <sheetViews>
    <sheetView workbookViewId="0">
      <selection activeCell="C6" sqref="C6"/>
    </sheetView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78</v>
      </c>
      <c r="C2" s="11" t="str">
        <f>BD_TCC!B1</f>
        <v>10.67.22.216</v>
      </c>
      <c r="E2" t="s">
        <v>82</v>
      </c>
    </row>
    <row r="3" spans="2:5" x14ac:dyDescent="0.45">
      <c r="B3" s="10" t="s">
        <v>79</v>
      </c>
      <c r="C3" s="11" t="str">
        <f>_xlfn.CONCAT(E3,BD_TCC!C12,BD_TCC!D12,BD_TCC!E12,BD_TCC!F12,BD_TCC!G12)</f>
        <v>bd_tcc_infonet_224_g7</v>
      </c>
      <c r="E3" t="s">
        <v>83</v>
      </c>
    </row>
    <row r="4" spans="2:5" x14ac:dyDescent="0.45">
      <c r="B4" s="10" t="s">
        <v>77</v>
      </c>
      <c r="C4" s="11" t="str">
        <f>_xlfn.CONCAT(E4,BD_TCC!C21,BD_TCC!D21,BD_TCC!E21,BD_TCC!F21,BD_TCC!G21)</f>
        <v>us_infonet_224_g7</v>
      </c>
      <c r="E4" t="s">
        <v>84</v>
      </c>
    </row>
    <row r="5" spans="2:5" x14ac:dyDescent="0.45">
      <c r="B5" s="10" t="s">
        <v>80</v>
      </c>
      <c r="C5" s="11" t="str">
        <f>BD_TCC!I21</f>
        <v>ej5213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LISTA ALUNOS PARA BD</vt:lpstr>
      <vt:lpstr>COMANDOS</vt:lpstr>
      <vt:lpstr>BD_TCC</vt:lpstr>
      <vt:lpstr>g1</vt:lpstr>
      <vt:lpstr>g2</vt:lpstr>
      <vt:lpstr>g3</vt:lpstr>
      <vt:lpstr>g4</vt:lpstr>
      <vt:lpstr>g5</vt:lpstr>
      <vt:lpstr>g6</vt:lpstr>
      <vt:lpstr>g7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Silva</dc:creator>
  <cp:lastModifiedBy>Ewerton Silva</cp:lastModifiedBy>
  <dcterms:created xsi:type="dcterms:W3CDTF">2019-03-19T17:53:26Z</dcterms:created>
  <dcterms:modified xsi:type="dcterms:W3CDTF">2025-03-25T22:20:42Z</dcterms:modified>
</cp:coreProperties>
</file>